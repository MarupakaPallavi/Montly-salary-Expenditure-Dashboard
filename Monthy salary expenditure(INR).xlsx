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up\OneDrive\Desktop\data science intellipat\MS EXCEL  Module\other projects\"/>
    </mc:Choice>
  </mc:AlternateContent>
  <xr:revisionPtr revIDLastSave="0" documentId="13_ncr:1_{EF97671B-D01C-469E-9128-582ABD31B4BB}" xr6:coauthVersionLast="47" xr6:coauthVersionMax="47" xr10:uidLastSave="{00000000-0000-0000-0000-000000000000}"/>
  <bookViews>
    <workbookView xWindow="-108" yWindow="-108" windowWidth="23256" windowHeight="13896" xr2:uid="{D027394B-4AAD-4C23-B5CC-2C8DC093D047}"/>
  </bookViews>
  <sheets>
    <sheet name="Dashboar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2" l="1"/>
  <c r="H15" i="2"/>
  <c r="H5" i="2" s="1"/>
  <c r="R5" i="2" s="1"/>
  <c r="W15" i="2"/>
  <c r="F5" i="2"/>
  <c r="J5" i="2"/>
  <c r="M15" i="2"/>
  <c r="N5" i="2"/>
  <c r="T5" i="2" s="1"/>
  <c r="R15" i="2"/>
  <c r="L5" i="2" s="1"/>
  <c r="P5" i="2" s="1"/>
  <c r="C15" i="2"/>
</calcChain>
</file>

<file path=xl/sharedStrings.xml><?xml version="1.0" encoding="utf-8"?>
<sst xmlns="http://schemas.openxmlformats.org/spreadsheetml/2006/main" count="54" uniqueCount="35">
  <si>
    <t>Needs</t>
  </si>
  <si>
    <t xml:space="preserve">Wants
</t>
  </si>
  <si>
    <t>Savings</t>
  </si>
  <si>
    <t xml:space="preserve"> 50–30–20 Rule</t>
  </si>
  <si>
    <t>enter your income sources,spends,savings in the shaded area it calculates automatically</t>
  </si>
  <si>
    <t>MONTHLY INCOME, EXPENCES AND SAVINGS DASHBOARD</t>
  </si>
  <si>
    <t xml:space="preserve">DECEMBER </t>
  </si>
  <si>
    <t>BUDGET</t>
  </si>
  <si>
    <t>Income</t>
  </si>
  <si>
    <t>Expenses</t>
  </si>
  <si>
    <t>Bills</t>
  </si>
  <si>
    <t>Debt</t>
  </si>
  <si>
    <t>Sources</t>
  </si>
  <si>
    <t>Rupees</t>
  </si>
  <si>
    <t>Salary</t>
  </si>
  <si>
    <t>Part time</t>
  </si>
  <si>
    <t>Rent</t>
  </si>
  <si>
    <t>Others</t>
  </si>
  <si>
    <t>Total</t>
  </si>
  <si>
    <t>Shopping</t>
  </si>
  <si>
    <t>others</t>
  </si>
  <si>
    <t>House Rent</t>
  </si>
  <si>
    <t>Internet</t>
  </si>
  <si>
    <t>Electricity</t>
  </si>
  <si>
    <t>Water bil</t>
  </si>
  <si>
    <t>Travel charges</t>
  </si>
  <si>
    <t>LIC savings</t>
  </si>
  <si>
    <t>Gold</t>
  </si>
  <si>
    <t>Emergency save</t>
  </si>
  <si>
    <t>Car EMI</t>
  </si>
  <si>
    <t>Savings %</t>
  </si>
  <si>
    <t>Needs%</t>
  </si>
  <si>
    <t>Debt%</t>
  </si>
  <si>
    <t>Amount left</t>
  </si>
  <si>
    <t>Groceries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</si>
</sst>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masis MT Pro Black"/>
      <family val="1"/>
    </font>
    <font>
      <sz val="11"/>
      <color theme="1"/>
      <name val="Amasis MT Pro Black"/>
      <family val="1"/>
    </font>
    <font>
      <sz val="18"/>
      <color theme="1"/>
      <name val="Amasis MT Pro Black"/>
      <family val="1"/>
    </font>
    <font>
      <sz val="16"/>
      <color theme="1"/>
      <name val="Amasis MT Pro Black"/>
      <family val="1"/>
    </font>
    <font>
      <sz val="14"/>
      <color theme="1"/>
      <name val="Amasis MT Pro Black"/>
      <family val="1"/>
    </font>
    <font>
      <sz val="12"/>
      <color theme="1"/>
      <name val="Amasis MT Pro Black"/>
      <family val="1"/>
    </font>
    <font>
      <b/>
      <sz val="12"/>
      <color theme="1"/>
      <name val="Amasis MT Pro Black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EAB0E4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5" borderId="0" xfId="0" applyFill="1"/>
    <xf numFmtId="165" fontId="0" fillId="5" borderId="0" xfId="0" applyNumberFormat="1" applyFill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7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65" fontId="2" fillId="5" borderId="6" xfId="0" applyNumberFormat="1" applyFont="1" applyFill="1" applyBorder="1" applyAlignment="1">
      <alignment horizontal="center"/>
    </xf>
    <xf numFmtId="165" fontId="2" fillId="5" borderId="8" xfId="0" applyNumberFormat="1" applyFont="1" applyFill="1" applyBorder="1" applyAlignment="1">
      <alignment horizontal="center"/>
    </xf>
    <xf numFmtId="165" fontId="2" fillId="5" borderId="9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10" fontId="9" fillId="5" borderId="1" xfId="0" applyNumberFormat="1" applyFont="1" applyFill="1" applyBorder="1" applyAlignment="1">
      <alignment horizontal="center"/>
    </xf>
    <xf numFmtId="10" fontId="9" fillId="5" borderId="6" xfId="0" applyNumberFormat="1" applyFont="1" applyFill="1" applyBorder="1" applyAlignment="1">
      <alignment horizontal="center"/>
    </xf>
    <xf numFmtId="10" fontId="9" fillId="5" borderId="8" xfId="0" applyNumberFormat="1" applyFont="1" applyFill="1" applyBorder="1" applyAlignment="1">
      <alignment horizontal="center"/>
    </xf>
    <xf numFmtId="10" fontId="9" fillId="5" borderId="9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165" fontId="0" fillId="7" borderId="8" xfId="0" applyNumberForma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10" fontId="2" fillId="8" borderId="5" xfId="0" applyNumberFormat="1" applyFont="1" applyFill="1" applyBorder="1" applyAlignment="1">
      <alignment horizontal="center"/>
    </xf>
    <xf numFmtId="10" fontId="2" fillId="8" borderId="1" xfId="0" applyNumberFormat="1" applyFont="1" applyFill="1" applyBorder="1" applyAlignment="1">
      <alignment horizontal="center"/>
    </xf>
    <xf numFmtId="10" fontId="2" fillId="8" borderId="7" xfId="0" applyNumberFormat="1" applyFont="1" applyFill="1" applyBorder="1" applyAlignment="1">
      <alignment horizontal="center"/>
    </xf>
    <xf numFmtId="10" fontId="2" fillId="8" borderId="8" xfId="0" applyNumberFormat="1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165" fontId="2" fillId="5" borderId="10" xfId="0" applyNumberFormat="1" applyFont="1" applyFill="1" applyBorder="1" applyAlignment="1">
      <alignment horizontal="center"/>
    </xf>
    <xf numFmtId="165" fontId="2" fillId="5" borderId="16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FF"/>
      <color rgb="FFEAB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  <a:latin typeface="Arial Black" panose="020B0A04020102020204" pitchFamily="34" charset="0"/>
              </a:rPr>
              <a:t>MONTH</a:t>
            </a:r>
            <a:r>
              <a:rPr lang="en-IN" b="1" baseline="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 EXPENDITURE</a:t>
            </a:r>
            <a:endParaRPr lang="en-IN" b="1">
              <a:solidFill>
                <a:sysClr val="windowText" lastClr="000000"/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88025426157919"/>
          <c:y val="0.15268774649242145"/>
          <c:w val="0.88944212855745974"/>
          <c:h val="0.69942460818030128"/>
        </c:manualLayout>
      </c:layout>
      <c:bar3DChart>
        <c:barDir val="col"/>
        <c:grouping val="clustered"/>
        <c:varyColors val="0"/>
        <c:ser>
          <c:idx val="0"/>
          <c:order val="0"/>
          <c:tx>
            <c:v>Expenses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5.5248618784530384E-2"/>
                  <c:y val="-6.9444444444444531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0274F1F-6D28-4A74-9CB1-2C7C6E6A5216}" type="VALUE">
                      <a:rPr lang="en-US" sz="1000" baseline="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 w="12700"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043A-4C49-9B4C-DFFFA9140551}"/>
                </c:ext>
              </c:extLst>
            </c:dLbl>
            <c:spPr>
              <a:noFill/>
              <a:ln w="12700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Dashboard!$H$5:$H$6</c:f>
              <c:numCache>
                <c:formatCode>"₹"\ #,##0.00</c:formatCode>
                <c:ptCount val="2"/>
                <c:pt idx="0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A-4C49-9B4C-DFFFA9140551}"/>
            </c:ext>
          </c:extLst>
        </c:ser>
        <c:ser>
          <c:idx val="2"/>
          <c:order val="2"/>
          <c:tx>
            <c:v>Bills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7.673419275629223E-2"/>
                  <c:y val="-4.6296296296296335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B41E4B5-2B4E-47D2-8C4D-276ADA74FF5E}" type="VALUE">
                      <a:rPr lang="en-US" sz="1000" b="0" baseline="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 w="12700"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43A-4C49-9B4C-DFFFA9140551}"/>
                </c:ext>
              </c:extLst>
            </c:dLbl>
            <c:spPr>
              <a:noFill/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Dashboard!$J$5:$J$6</c:f>
              <c:numCache>
                <c:formatCode>"₹"\ #,##0.00</c:formatCode>
                <c:ptCount val="2"/>
                <c:pt idx="0">
                  <c:v>11700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3A-4C49-9B4C-DFFFA9140551}"/>
            </c:ext>
          </c:extLst>
        </c:ser>
        <c:ser>
          <c:idx val="4"/>
          <c:order val="4"/>
          <c:tx>
            <c:v>Savings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515039901780234E-2"/>
                  <c:y val="-2.7777777777777776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B991190-0F59-4B9A-A44D-A4F1C75C7B33}" type="VALUE">
                      <a:rPr lang="en-US" sz="1000" b="0" baseline="0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 w="12700"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043A-4C49-9B4C-DFFFA91405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Dashboard!$L$5:$L$6</c:f>
              <c:numCache>
                <c:formatCode>"₹"\ #,##0.00</c:formatCode>
                <c:ptCount val="2"/>
                <c:pt idx="0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3A-4C49-9B4C-DFFFA9140551}"/>
            </c:ext>
          </c:extLst>
        </c:ser>
        <c:ser>
          <c:idx val="6"/>
          <c:order val="6"/>
          <c:tx>
            <c:v>Debt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18723143032535286"/>
                  <c:y val="1.3888888888888888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7DCF9BC-35C6-4F96-8BDD-BEB36A9DD741}" type="VALUE">
                      <a:rPr lang="en-US" sz="1000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 w="12700"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043A-4C49-9B4C-DFFFA9140551}"/>
                </c:ext>
              </c:extLst>
            </c:dLbl>
            <c:spPr>
              <a:noFill/>
              <a:ln w="12700"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Dashboard!$N$5:$N$6</c:f>
              <c:numCache>
                <c:formatCode>"₹"\ #,##0.00</c:formatCode>
                <c:ptCount val="2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3A-4C49-9B4C-DFFFA91405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3944607"/>
        <c:axId val="813944127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Dashboard!$I$5:$I$6</c15:sqref>
                        </c15:formulaRef>
                      </c:ext>
                    </c:extLst>
                    <c:numCache>
                      <c:formatCode>"₹"\ #,##0.00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43A-4C49-9B4C-DFFFA9140551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Dashboard!$K$5:$K$6</c15:sqref>
                        </c15:formulaRef>
                      </c:ext>
                    </c:extLst>
                    <c:numCache>
                      <c:formatCode>"₹"\ #,##0.00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43A-4C49-9B4C-DFFFA9140551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Dashboard!$M$5:$M$6</c15:sqref>
                        </c15:formulaRef>
                      </c:ext>
                    </c:extLst>
                    <c:numCache>
                      <c:formatCode>"₹"\ #,##0.00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43A-4C49-9B4C-DFFFA9140551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Dashboard!$O$5:$O$6</c15:sqref>
                        </c15:formulaRef>
                      </c:ext>
                    </c:extLst>
                    <c:numCache>
                      <c:formatCode>"₹"\ #,##0.00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43A-4C49-9B4C-DFFFA9140551}"/>
                  </c:ext>
                </c:extLst>
              </c15:ser>
            </c15:filteredBarSeries>
          </c:ext>
        </c:extLst>
      </c:bar3DChart>
      <c:catAx>
        <c:axId val="8139446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44127"/>
        <c:crosses val="autoZero"/>
        <c:auto val="1"/>
        <c:lblAlgn val="ctr"/>
        <c:lblOffset val="100"/>
        <c:noMultiLvlLbl val="0"/>
      </c:catAx>
      <c:valAx>
        <c:axId val="813944127"/>
        <c:scaling>
          <c:orientation val="minMax"/>
        </c:scaling>
        <c:delete val="0"/>
        <c:axPos val="l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4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714698162729656"/>
          <c:y val="0.87557815689705432"/>
          <c:w val="0.49292825896762904"/>
          <c:h val="9.6644065325167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16</xdr:row>
      <xdr:rowOff>45720</xdr:rowOff>
    </xdr:from>
    <xdr:to>
      <xdr:col>13</xdr:col>
      <xdr:colOff>533400</xdr:colOff>
      <xdr:row>29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A015B6-688F-212B-F42E-87309D475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441960</xdr:colOff>
      <xdr:row>19</xdr:row>
      <xdr:rowOff>137160</xdr:rowOff>
    </xdr:from>
    <xdr:to>
      <xdr:col>19</xdr:col>
      <xdr:colOff>76200</xdr:colOff>
      <xdr:row>27</xdr:row>
      <xdr:rowOff>15240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769074B-466C-07B8-2F85-59B9BA9A4420}"/>
            </a:ext>
          </a:extLst>
        </xdr:cNvPr>
        <xdr:cNvSpPr/>
      </xdr:nvSpPr>
      <xdr:spPr>
        <a:xfrm>
          <a:off x="8907780" y="4107180"/>
          <a:ext cx="2072640" cy="14401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scene3d>
          <a:camera prst="orthographicFront">
            <a:rot lat="1200000" lon="2400000" rev="0"/>
          </a:camera>
          <a:lightRig rig="threePt" dir="t"/>
        </a:scene3d>
        <a:sp3d extrusionH="889000" contourW="25400" prstMaterial="flat">
          <a:extrusionClr>
            <a:schemeClr val="accent5">
              <a:lumMod val="20000"/>
              <a:lumOff val="80000"/>
            </a:schemeClr>
          </a:extrusionClr>
          <a:contourClr>
            <a:schemeClr val="tx1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0" i="0" u="none" strike="noStrike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₹ 4,300.00</a:t>
          </a:r>
          <a:r>
            <a:rPr lang="en-IN" sz="4000">
              <a:solidFill>
                <a:sysClr val="windowText" lastClr="000000"/>
              </a:solidFill>
              <a:effectLst/>
              <a:latin typeface="Arial Black" panose="020B0A04020102020204" pitchFamily="34" charset="0"/>
            </a:rPr>
            <a:t> </a:t>
          </a:r>
          <a:endParaRPr lang="en-IN" sz="4000" b="0" baseline="0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4FC6-0DBD-46F2-A448-ED405F28BC03}">
  <dimension ref="A1:Y35"/>
  <sheetViews>
    <sheetView tabSelected="1" workbookViewId="0">
      <selection activeCell="K14" sqref="K14:L14"/>
    </sheetView>
  </sheetViews>
  <sheetFormatPr defaultRowHeight="14.4" x14ac:dyDescent="0.3"/>
  <cols>
    <col min="2" max="3" width="9.44140625" bestFit="1" customWidth="1"/>
    <col min="5" max="5" width="5.33203125" customWidth="1"/>
    <col min="10" max="10" width="5.33203125" customWidth="1"/>
    <col min="15" max="15" width="5" customWidth="1"/>
    <col min="20" max="20" width="5" customWidth="1"/>
    <col min="22" max="22" width="9.44140625" bestFit="1" customWidth="1"/>
  </cols>
  <sheetData>
    <row r="1" spans="1:25" x14ac:dyDescent="0.3">
      <c r="A1" s="51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ht="15" thickBot="1" x14ac:dyDescent="0.3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x14ac:dyDescent="0.3">
      <c r="A3" s="53" t="s">
        <v>6</v>
      </c>
      <c r="B3" s="28"/>
      <c r="C3" s="28"/>
      <c r="D3" s="28"/>
      <c r="E3" s="28"/>
      <c r="F3" s="6" t="s">
        <v>8</v>
      </c>
      <c r="G3" s="28"/>
      <c r="H3" s="6" t="s">
        <v>9</v>
      </c>
      <c r="I3" s="28"/>
      <c r="J3" s="6" t="s">
        <v>10</v>
      </c>
      <c r="K3" s="28"/>
      <c r="L3" s="6" t="s">
        <v>2</v>
      </c>
      <c r="M3" s="6"/>
      <c r="N3" s="6" t="s">
        <v>11</v>
      </c>
      <c r="O3" s="59"/>
      <c r="P3" s="22" t="s">
        <v>30</v>
      </c>
      <c r="Q3" s="28"/>
      <c r="R3" s="6" t="s">
        <v>31</v>
      </c>
      <c r="S3" s="28"/>
      <c r="T3" s="6" t="s">
        <v>32</v>
      </c>
      <c r="U3" s="7"/>
      <c r="V3" s="6" t="s">
        <v>33</v>
      </c>
      <c r="W3" s="7"/>
      <c r="X3" s="1"/>
      <c r="Y3" s="1"/>
    </row>
    <row r="4" spans="1:25" x14ac:dyDescent="0.3">
      <c r="A4" s="29"/>
      <c r="B4" s="8"/>
      <c r="C4" s="8"/>
      <c r="D4" s="8"/>
      <c r="E4" s="8"/>
      <c r="F4" s="8"/>
      <c r="G4" s="8"/>
      <c r="H4" s="8"/>
      <c r="I4" s="8"/>
      <c r="J4" s="8"/>
      <c r="K4" s="8"/>
      <c r="L4" s="58"/>
      <c r="M4" s="58"/>
      <c r="N4" s="8"/>
      <c r="O4" s="60"/>
      <c r="P4" s="29"/>
      <c r="Q4" s="8"/>
      <c r="R4" s="8"/>
      <c r="S4" s="8"/>
      <c r="T4" s="8"/>
      <c r="U4" s="9"/>
      <c r="V4" s="8"/>
      <c r="W4" s="9"/>
      <c r="X4" s="1"/>
      <c r="Y4" s="1"/>
    </row>
    <row r="5" spans="1:25" ht="14.4" customHeight="1" x14ac:dyDescent="0.3">
      <c r="A5" s="54" t="s">
        <v>7</v>
      </c>
      <c r="B5" s="55"/>
      <c r="C5" s="55"/>
      <c r="D5" s="55"/>
      <c r="E5" s="55"/>
      <c r="F5" s="10">
        <f>C15</f>
        <v>50000</v>
      </c>
      <c r="G5" s="10"/>
      <c r="H5" s="10">
        <f>H15</f>
        <v>4500</v>
      </c>
      <c r="I5" s="10"/>
      <c r="J5" s="10">
        <f>M15</f>
        <v>11700</v>
      </c>
      <c r="K5" s="10"/>
      <c r="L5" s="10">
        <f>R15</f>
        <v>17000</v>
      </c>
      <c r="M5" s="10"/>
      <c r="N5" s="10">
        <f>W15</f>
        <v>12500</v>
      </c>
      <c r="O5" s="49"/>
      <c r="P5" s="30">
        <f>L5/F5</f>
        <v>0.34</v>
      </c>
      <c r="Q5" s="31"/>
      <c r="R5" s="30">
        <f>(H5+J5)/F5</f>
        <v>0.32400000000000001</v>
      </c>
      <c r="S5" s="31"/>
      <c r="T5" s="30">
        <f>N5/F5</f>
        <v>0.25</v>
      </c>
      <c r="U5" s="31"/>
      <c r="V5" s="10">
        <f>F5-SUM(H5:O6)</f>
        <v>4300</v>
      </c>
      <c r="W5" s="11"/>
      <c r="X5" s="1"/>
      <c r="Y5" s="1"/>
    </row>
    <row r="6" spans="1:25" ht="15" customHeight="1" thickBot="1" x14ac:dyDescent="0.35">
      <c r="A6" s="56"/>
      <c r="B6" s="57"/>
      <c r="C6" s="57"/>
      <c r="D6" s="57"/>
      <c r="E6" s="57"/>
      <c r="F6" s="12"/>
      <c r="G6" s="12"/>
      <c r="H6" s="12"/>
      <c r="I6" s="12"/>
      <c r="J6" s="12"/>
      <c r="K6" s="12"/>
      <c r="L6" s="12"/>
      <c r="M6" s="12"/>
      <c r="N6" s="12"/>
      <c r="O6" s="50"/>
      <c r="P6" s="32"/>
      <c r="Q6" s="33"/>
      <c r="R6" s="32"/>
      <c r="S6" s="33"/>
      <c r="T6" s="32"/>
      <c r="U6" s="33"/>
      <c r="V6" s="12"/>
      <c r="W6" s="13"/>
      <c r="X6" s="1"/>
      <c r="Y6" s="1"/>
    </row>
    <row r="7" spans="1:25" ht="15" customHeight="1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.6" customHeight="1" x14ac:dyDescent="0.45">
      <c r="A8" s="22" t="s">
        <v>8</v>
      </c>
      <c r="B8" s="43"/>
      <c r="C8" s="43"/>
      <c r="D8" s="44"/>
      <c r="E8" s="1"/>
      <c r="F8" s="22" t="s">
        <v>9</v>
      </c>
      <c r="G8" s="43"/>
      <c r="H8" s="43"/>
      <c r="I8" s="44"/>
      <c r="J8" s="1"/>
      <c r="K8" s="22" t="s">
        <v>10</v>
      </c>
      <c r="L8" s="43"/>
      <c r="M8" s="43"/>
      <c r="N8" s="44"/>
      <c r="O8" s="1"/>
      <c r="P8" s="22" t="s">
        <v>2</v>
      </c>
      <c r="Q8" s="43"/>
      <c r="R8" s="43"/>
      <c r="S8" s="44"/>
      <c r="T8" s="1"/>
      <c r="U8" s="22" t="s">
        <v>11</v>
      </c>
      <c r="V8" s="43"/>
      <c r="W8" s="43"/>
      <c r="X8" s="44"/>
      <c r="Y8" s="1"/>
    </row>
    <row r="9" spans="1:25" ht="18" x14ac:dyDescent="0.35">
      <c r="A9" s="14" t="s">
        <v>12</v>
      </c>
      <c r="B9" s="45"/>
      <c r="C9" s="15" t="s">
        <v>13</v>
      </c>
      <c r="D9" s="46"/>
      <c r="E9" s="1"/>
      <c r="F9" s="14" t="s">
        <v>12</v>
      </c>
      <c r="G9" s="45"/>
      <c r="H9" s="15" t="s">
        <v>13</v>
      </c>
      <c r="I9" s="46"/>
      <c r="J9" s="1"/>
      <c r="K9" s="14" t="s">
        <v>12</v>
      </c>
      <c r="L9" s="45"/>
      <c r="M9" s="15" t="s">
        <v>13</v>
      </c>
      <c r="N9" s="46"/>
      <c r="O9" s="1"/>
      <c r="P9" s="14" t="s">
        <v>12</v>
      </c>
      <c r="Q9" s="45"/>
      <c r="R9" s="15" t="s">
        <v>13</v>
      </c>
      <c r="S9" s="46"/>
      <c r="T9" s="1"/>
      <c r="U9" s="14" t="s">
        <v>12</v>
      </c>
      <c r="V9" s="45"/>
      <c r="W9" s="15" t="s">
        <v>13</v>
      </c>
      <c r="X9" s="46"/>
      <c r="Y9" s="1"/>
    </row>
    <row r="10" spans="1:25" ht="16.2" x14ac:dyDescent="0.35">
      <c r="A10" s="47" t="s">
        <v>14</v>
      </c>
      <c r="B10" s="48"/>
      <c r="C10" s="36">
        <v>30000</v>
      </c>
      <c r="D10" s="37"/>
      <c r="E10" s="1"/>
      <c r="F10" s="47" t="s">
        <v>34</v>
      </c>
      <c r="G10" s="48"/>
      <c r="H10" s="36">
        <v>2000</v>
      </c>
      <c r="I10" s="37"/>
      <c r="J10" s="1"/>
      <c r="K10" s="47" t="s">
        <v>21</v>
      </c>
      <c r="L10" s="48"/>
      <c r="M10" s="36">
        <v>10000</v>
      </c>
      <c r="N10" s="37"/>
      <c r="O10" s="1"/>
      <c r="P10" s="47" t="s">
        <v>26</v>
      </c>
      <c r="Q10" s="48"/>
      <c r="R10" s="36">
        <v>10000</v>
      </c>
      <c r="S10" s="37"/>
      <c r="T10" s="1"/>
      <c r="U10" s="47" t="s">
        <v>29</v>
      </c>
      <c r="V10" s="48"/>
      <c r="W10" s="36">
        <v>12500</v>
      </c>
      <c r="X10" s="37"/>
      <c r="Y10" s="1"/>
    </row>
    <row r="11" spans="1:25" ht="16.2" x14ac:dyDescent="0.35">
      <c r="A11" s="34" t="s">
        <v>15</v>
      </c>
      <c r="B11" s="35"/>
      <c r="C11" s="36">
        <v>10000</v>
      </c>
      <c r="D11" s="37"/>
      <c r="E11" s="1"/>
      <c r="F11" s="34" t="s">
        <v>19</v>
      </c>
      <c r="G11" s="35"/>
      <c r="H11" s="36">
        <v>1500</v>
      </c>
      <c r="I11" s="37"/>
      <c r="J11" s="1"/>
      <c r="K11" s="34" t="s">
        <v>22</v>
      </c>
      <c r="L11" s="35"/>
      <c r="M11" s="36">
        <v>500</v>
      </c>
      <c r="N11" s="37"/>
      <c r="O11" s="1"/>
      <c r="P11" s="34" t="s">
        <v>27</v>
      </c>
      <c r="Q11" s="35"/>
      <c r="R11" s="36">
        <v>5000</v>
      </c>
      <c r="S11" s="37"/>
      <c r="T11" s="1"/>
      <c r="U11" s="34"/>
      <c r="V11" s="35"/>
      <c r="W11" s="36"/>
      <c r="X11" s="37"/>
      <c r="Y11" s="1"/>
    </row>
    <row r="12" spans="1:25" ht="16.2" x14ac:dyDescent="0.35">
      <c r="A12" s="34" t="s">
        <v>16</v>
      </c>
      <c r="B12" s="35"/>
      <c r="C12" s="36">
        <v>5000</v>
      </c>
      <c r="D12" s="37"/>
      <c r="E12" s="1"/>
      <c r="F12" s="34" t="s">
        <v>20</v>
      </c>
      <c r="G12" s="35"/>
      <c r="H12" s="36">
        <v>1000</v>
      </c>
      <c r="I12" s="37"/>
      <c r="J12" s="1"/>
      <c r="K12" s="34" t="s">
        <v>23</v>
      </c>
      <c r="L12" s="35"/>
      <c r="M12" s="36">
        <v>500</v>
      </c>
      <c r="N12" s="37"/>
      <c r="O12" s="1"/>
      <c r="P12" s="34" t="s">
        <v>28</v>
      </c>
      <c r="Q12" s="35"/>
      <c r="R12" s="36">
        <v>2000</v>
      </c>
      <c r="S12" s="37"/>
      <c r="T12" s="1"/>
      <c r="U12" s="34"/>
      <c r="V12" s="35"/>
      <c r="W12" s="36"/>
      <c r="X12" s="37"/>
      <c r="Y12" s="1"/>
    </row>
    <row r="13" spans="1:25" x14ac:dyDescent="0.3">
      <c r="A13" s="38" t="s">
        <v>17</v>
      </c>
      <c r="B13" s="39"/>
      <c r="C13" s="36">
        <v>5000</v>
      </c>
      <c r="D13" s="37"/>
      <c r="E13" s="1"/>
      <c r="F13" s="38"/>
      <c r="G13" s="39"/>
      <c r="H13" s="36"/>
      <c r="I13" s="37"/>
      <c r="J13" s="1"/>
      <c r="K13" s="38" t="s">
        <v>24</v>
      </c>
      <c r="L13" s="39"/>
      <c r="M13" s="36">
        <v>200</v>
      </c>
      <c r="N13" s="37"/>
      <c r="O13" s="1"/>
      <c r="P13" s="38"/>
      <c r="Q13" s="39"/>
      <c r="R13" s="41"/>
      <c r="S13" s="42"/>
      <c r="T13" s="1"/>
      <c r="U13" s="38"/>
      <c r="V13" s="39"/>
      <c r="W13" s="36"/>
      <c r="X13" s="37"/>
      <c r="Y13" s="1"/>
    </row>
    <row r="14" spans="1:25" x14ac:dyDescent="0.3">
      <c r="A14" s="40"/>
      <c r="B14" s="41"/>
      <c r="C14" s="41"/>
      <c r="D14" s="42"/>
      <c r="E14" s="1"/>
      <c r="F14" s="40"/>
      <c r="G14" s="41"/>
      <c r="H14" s="41"/>
      <c r="I14" s="42"/>
      <c r="J14" s="1"/>
      <c r="K14" s="38" t="s">
        <v>25</v>
      </c>
      <c r="L14" s="39"/>
      <c r="M14" s="36">
        <v>500</v>
      </c>
      <c r="N14" s="37"/>
      <c r="O14" s="1"/>
      <c r="P14" s="40"/>
      <c r="Q14" s="41"/>
      <c r="R14" s="41"/>
      <c r="S14" s="42"/>
      <c r="T14" s="1"/>
      <c r="U14" s="40"/>
      <c r="V14" s="41"/>
      <c r="W14" s="41"/>
      <c r="X14" s="42"/>
      <c r="Y14" s="1"/>
    </row>
    <row r="15" spans="1:25" ht="15" thickBot="1" x14ac:dyDescent="0.35">
      <c r="A15" s="24" t="s">
        <v>18</v>
      </c>
      <c r="B15" s="25"/>
      <c r="C15" s="26">
        <f>SUM(C10:D13)</f>
        <v>50000</v>
      </c>
      <c r="D15" s="27"/>
      <c r="E15" s="1"/>
      <c r="F15" s="24" t="s">
        <v>18</v>
      </c>
      <c r="G15" s="25"/>
      <c r="H15" s="26">
        <f>SUM(H10:I13)</f>
        <v>4500</v>
      </c>
      <c r="I15" s="27"/>
      <c r="J15" s="1"/>
      <c r="K15" s="24" t="s">
        <v>18</v>
      </c>
      <c r="L15" s="25"/>
      <c r="M15" s="26">
        <f>SUM(M10:N14)</f>
        <v>11700</v>
      </c>
      <c r="N15" s="27"/>
      <c r="O15" s="1"/>
      <c r="P15" s="24" t="s">
        <v>18</v>
      </c>
      <c r="Q15" s="25"/>
      <c r="R15" s="26">
        <f>SUM(R10:S13)</f>
        <v>17000</v>
      </c>
      <c r="S15" s="27"/>
      <c r="T15" s="1"/>
      <c r="U15" s="24" t="s">
        <v>18</v>
      </c>
      <c r="V15" s="25"/>
      <c r="W15" s="26">
        <f>SUM(W10:X13)</f>
        <v>12500</v>
      </c>
      <c r="X15" s="27"/>
      <c r="Y15" s="1"/>
    </row>
    <row r="16" spans="1:25" x14ac:dyDescent="0.3">
      <c r="A16" s="1"/>
      <c r="B16" s="1"/>
      <c r="C16" s="1"/>
      <c r="D16" s="1"/>
      <c r="E16" s="1"/>
      <c r="F16" s="5" t="s">
        <v>4</v>
      </c>
      <c r="G16" s="5"/>
      <c r="H16" s="5"/>
      <c r="I16" s="5"/>
      <c r="J16" s="5"/>
      <c r="K16" s="5"/>
      <c r="L16" s="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4" customHeight="1" thickBo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4" t="s">
        <v>33</v>
      </c>
      <c r="Q17" s="4"/>
      <c r="R17" s="4"/>
      <c r="S17" s="4"/>
      <c r="T17" s="4"/>
      <c r="U17" s="4"/>
      <c r="V17" s="1"/>
      <c r="W17" s="1"/>
      <c r="X17" s="1"/>
      <c r="Y17" s="1"/>
    </row>
    <row r="18" spans="1:25" ht="21.6" customHeight="1" x14ac:dyDescent="0.45">
      <c r="A18" s="22" t="s">
        <v>3</v>
      </c>
      <c r="B18" s="6"/>
      <c r="C18" s="6"/>
      <c r="D18" s="2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3"/>
      <c r="Q18" s="3"/>
      <c r="R18" s="3"/>
      <c r="S18" s="3"/>
      <c r="T18" s="3"/>
      <c r="U18" s="3"/>
      <c r="V18" s="1"/>
      <c r="W18" s="1"/>
      <c r="X18" s="1"/>
      <c r="Y18" s="1"/>
    </row>
    <row r="19" spans="1:25" ht="18" customHeight="1" x14ac:dyDescent="0.45">
      <c r="A19" s="14" t="s">
        <v>0</v>
      </c>
      <c r="B19" s="15"/>
      <c r="C19" s="18">
        <v>0.5</v>
      </c>
      <c r="D19" s="1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"/>
      <c r="Q19" s="3"/>
      <c r="R19" s="3"/>
      <c r="S19" s="3"/>
      <c r="T19" s="3"/>
      <c r="U19" s="3"/>
      <c r="V19" s="1"/>
      <c r="W19" s="1"/>
      <c r="X19" s="1"/>
      <c r="Y19" s="1"/>
    </row>
    <row r="20" spans="1:25" ht="18" customHeight="1" x14ac:dyDescent="0.45">
      <c r="A20" s="14" t="s">
        <v>1</v>
      </c>
      <c r="B20" s="15"/>
      <c r="C20" s="18">
        <v>0.3</v>
      </c>
      <c r="D20" s="1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/>
      <c r="Q20" s="3"/>
      <c r="R20" s="3"/>
      <c r="S20" s="3"/>
      <c r="T20" s="3"/>
      <c r="U20" s="3"/>
      <c r="V20" s="1"/>
      <c r="W20" s="1"/>
      <c r="X20" s="1"/>
      <c r="Y20" s="1"/>
    </row>
    <row r="21" spans="1:25" ht="18.600000000000001" customHeight="1" thickBot="1" x14ac:dyDescent="0.5">
      <c r="A21" s="16" t="s">
        <v>2</v>
      </c>
      <c r="B21" s="17"/>
      <c r="C21" s="20">
        <v>0.2</v>
      </c>
      <c r="D21" s="2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"/>
      <c r="Q21" s="3"/>
      <c r="R21" s="3"/>
      <c r="S21" s="3"/>
      <c r="T21" s="3"/>
      <c r="U21" s="3"/>
      <c r="V21" s="1"/>
      <c r="W21" s="1"/>
      <c r="X21" s="1"/>
      <c r="Y21" s="1"/>
    </row>
    <row r="22" spans="1:25" ht="14.4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3"/>
      <c r="Q22" s="3"/>
      <c r="R22" s="3"/>
      <c r="S22" s="3"/>
      <c r="T22" s="3"/>
      <c r="U22" s="3"/>
      <c r="V22" s="1"/>
      <c r="W22" s="1"/>
      <c r="X22" s="1"/>
      <c r="Y22" s="1"/>
    </row>
    <row r="23" spans="1:25" ht="14.4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3"/>
      <c r="Q23" s="3"/>
      <c r="R23" s="3"/>
      <c r="S23" s="3"/>
      <c r="T23" s="3"/>
      <c r="U23" s="3"/>
      <c r="V23" s="2"/>
      <c r="W23" s="1"/>
      <c r="X23" s="1"/>
      <c r="Y23" s="1"/>
    </row>
    <row r="24" spans="1:25" ht="14.4" customHeight="1" x14ac:dyDescent="0.4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3"/>
      <c r="Q24" s="3"/>
      <c r="R24" s="3"/>
      <c r="S24" s="3"/>
      <c r="T24" s="3"/>
      <c r="U24" s="3"/>
      <c r="V24" s="1"/>
      <c r="W24" s="1"/>
      <c r="X24" s="1"/>
      <c r="Y24" s="1"/>
    </row>
    <row r="25" spans="1:25" ht="14.4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3"/>
      <c r="Q25" s="3"/>
      <c r="R25" s="3"/>
      <c r="S25" s="3"/>
      <c r="T25" s="3"/>
      <c r="U25" s="3"/>
      <c r="V25" s="1"/>
      <c r="W25" s="1"/>
      <c r="X25" s="1"/>
      <c r="Y25" s="1"/>
    </row>
    <row r="26" spans="1:25" ht="14.4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3"/>
      <c r="Q26" s="3"/>
      <c r="R26" s="3"/>
      <c r="S26" s="3"/>
      <c r="T26" s="3"/>
      <c r="U26" s="3"/>
      <c r="V26" s="1"/>
      <c r="W26" s="1"/>
      <c r="X26" s="1"/>
      <c r="Y26" s="1"/>
    </row>
    <row r="27" spans="1:25" ht="14.4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3"/>
      <c r="Q27" s="3"/>
      <c r="R27" s="3"/>
      <c r="S27" s="3"/>
      <c r="T27" s="3"/>
      <c r="U27" s="3"/>
      <c r="V27" s="1"/>
      <c r="W27" s="1"/>
      <c r="X27" s="1"/>
      <c r="Y27" s="1"/>
    </row>
    <row r="28" spans="1:25" ht="14.4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3"/>
      <c r="Q28" s="3"/>
      <c r="R28" s="3"/>
      <c r="S28" s="3"/>
      <c r="T28" s="3"/>
      <c r="U28" s="3"/>
      <c r="V28" s="1"/>
      <c r="W28" s="1"/>
      <c r="X28" s="1"/>
      <c r="Y28" s="1"/>
    </row>
    <row r="29" spans="1:25" ht="14.4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3"/>
      <c r="Q29" s="3"/>
      <c r="R29" s="3"/>
      <c r="S29" s="3"/>
      <c r="T29" s="3"/>
      <c r="U29" s="3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</sheetData>
  <mergeCells count="105">
    <mergeCell ref="A11:B11"/>
    <mergeCell ref="J5:K6"/>
    <mergeCell ref="L5:M6"/>
    <mergeCell ref="N5:O6"/>
    <mergeCell ref="A1:Y2"/>
    <mergeCell ref="A3:E4"/>
    <mergeCell ref="A5:E6"/>
    <mergeCell ref="F3:G4"/>
    <mergeCell ref="H3:I4"/>
    <mergeCell ref="J3:K4"/>
    <mergeCell ref="L3:M4"/>
    <mergeCell ref="N3:O4"/>
    <mergeCell ref="F5:G6"/>
    <mergeCell ref="H5:I6"/>
    <mergeCell ref="F15:G15"/>
    <mergeCell ref="H15:I15"/>
    <mergeCell ref="C15:D15"/>
    <mergeCell ref="A15:B15"/>
    <mergeCell ref="F8:I8"/>
    <mergeCell ref="F9:G9"/>
    <mergeCell ref="H9:I9"/>
    <mergeCell ref="F10:G10"/>
    <mergeCell ref="H10:I10"/>
    <mergeCell ref="F11:G11"/>
    <mergeCell ref="H11:I11"/>
    <mergeCell ref="F12:G12"/>
    <mergeCell ref="A12:B12"/>
    <mergeCell ref="A13:B13"/>
    <mergeCell ref="A14:B14"/>
    <mergeCell ref="C10:D10"/>
    <mergeCell ref="C11:D11"/>
    <mergeCell ref="C12:D12"/>
    <mergeCell ref="C13:D13"/>
    <mergeCell ref="C14:D14"/>
    <mergeCell ref="A8:D8"/>
    <mergeCell ref="A9:B9"/>
    <mergeCell ref="C9:D9"/>
    <mergeCell ref="A10:B10"/>
    <mergeCell ref="M9:N9"/>
    <mergeCell ref="K10:L10"/>
    <mergeCell ref="M10:N10"/>
    <mergeCell ref="K11:L11"/>
    <mergeCell ref="M11:N11"/>
    <mergeCell ref="H12:I12"/>
    <mergeCell ref="F13:G13"/>
    <mergeCell ref="H13:I13"/>
    <mergeCell ref="F14:G14"/>
    <mergeCell ref="H14:I14"/>
    <mergeCell ref="P13:Q13"/>
    <mergeCell ref="R13:S13"/>
    <mergeCell ref="P14:Q14"/>
    <mergeCell ref="R14:S14"/>
    <mergeCell ref="P15:Q15"/>
    <mergeCell ref="R15:S15"/>
    <mergeCell ref="K15:L15"/>
    <mergeCell ref="M15:N15"/>
    <mergeCell ref="P8:S8"/>
    <mergeCell ref="P9:Q9"/>
    <mergeCell ref="R9:S9"/>
    <mergeCell ref="P10:Q10"/>
    <mergeCell ref="R10:S10"/>
    <mergeCell ref="P11:Q11"/>
    <mergeCell ref="R11:S11"/>
    <mergeCell ref="P12:Q12"/>
    <mergeCell ref="K12:L12"/>
    <mergeCell ref="M12:N12"/>
    <mergeCell ref="K13:L13"/>
    <mergeCell ref="M13:N13"/>
    <mergeCell ref="K14:L14"/>
    <mergeCell ref="M14:N14"/>
    <mergeCell ref="K8:N8"/>
    <mergeCell ref="K9:L9"/>
    <mergeCell ref="W14:X14"/>
    <mergeCell ref="U8:X8"/>
    <mergeCell ref="U9:V9"/>
    <mergeCell ref="W9:X9"/>
    <mergeCell ref="U10:V10"/>
    <mergeCell ref="W10:X10"/>
    <mergeCell ref="U11:V11"/>
    <mergeCell ref="W11:X11"/>
    <mergeCell ref="R12:S12"/>
    <mergeCell ref="P17:U17"/>
    <mergeCell ref="F16:N16"/>
    <mergeCell ref="V3:W4"/>
    <mergeCell ref="V5:W6"/>
    <mergeCell ref="A20:B20"/>
    <mergeCell ref="A21:B21"/>
    <mergeCell ref="C20:D20"/>
    <mergeCell ref="C21:D21"/>
    <mergeCell ref="A19:B19"/>
    <mergeCell ref="A18:D18"/>
    <mergeCell ref="C19:D19"/>
    <mergeCell ref="U15:V15"/>
    <mergeCell ref="W15:X15"/>
    <mergeCell ref="P3:Q4"/>
    <mergeCell ref="P5:Q6"/>
    <mergeCell ref="R3:S4"/>
    <mergeCell ref="R5:S6"/>
    <mergeCell ref="T3:U4"/>
    <mergeCell ref="T5:U6"/>
    <mergeCell ref="U12:V12"/>
    <mergeCell ref="W12:X12"/>
    <mergeCell ref="U13:V13"/>
    <mergeCell ref="W13:X13"/>
    <mergeCell ref="U14:V14"/>
  </mergeCells>
  <conditionalFormatting sqref="P5:Q6">
    <cfRule type="dataBar" priority="10">
      <dataBar>
        <cfvo type="min"/>
        <cfvo type="max"/>
        <color rgb="FFEAB0E4"/>
      </dataBar>
      <extLst>
        <ext xmlns:x14="http://schemas.microsoft.com/office/spreadsheetml/2009/9/main" uri="{B025F937-C7B1-47D3-B67F-A62EFF666E3E}">
          <x14:id>{8C10C710-9F16-4830-8FD0-29DCC9A54A0D}</x14:id>
        </ext>
      </extLst>
    </cfRule>
    <cfRule type="colorScale" priority="11">
      <colorScale>
        <cfvo type="min"/>
        <cfvo type="max"/>
        <color rgb="FFFCFCFF"/>
        <color rgb="FF63BE7B"/>
      </colorScale>
    </cfRule>
    <cfRule type="colorScale" priority="16">
      <colorScale>
        <cfvo type="min"/>
        <cfvo type="max"/>
        <color rgb="FFFFDDFF"/>
        <color theme="8" tint="0.39997558519241921"/>
      </colorScale>
    </cfRule>
  </conditionalFormatting>
  <conditionalFormatting sqref="P3:U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:U6">
    <cfRule type="colorScale" priority="13">
      <colorScale>
        <cfvo type="min"/>
        <cfvo type="max"/>
        <color rgb="FFFFDDFF"/>
        <color rgb="FFEAB0E4"/>
      </colorScale>
    </cfRule>
    <cfRule type="colorScale" priority="14">
      <colorScale>
        <cfvo type="min"/>
        <cfvo type="max"/>
        <color rgb="FFFFDDFF"/>
        <color rgb="FFEAB0E4"/>
      </colorScale>
    </cfRule>
  </conditionalFormatting>
  <conditionalFormatting sqref="R5:S6">
    <cfRule type="dataBar" priority="7">
      <dataBar>
        <cfvo type="min"/>
        <cfvo type="max"/>
        <color rgb="FFEAB0E4"/>
      </dataBar>
      <extLst>
        <ext xmlns:x14="http://schemas.microsoft.com/office/spreadsheetml/2009/9/main" uri="{B025F937-C7B1-47D3-B67F-A62EFF666E3E}">
          <x14:id>{D3B52CF9-21B8-4BBD-AF46-C890216CCE18}</x14:id>
        </ext>
      </extLst>
    </cfRule>
    <cfRule type="colorScale" priority="8">
      <colorScale>
        <cfvo type="min"/>
        <cfvo type="max"/>
        <color rgb="FFFCFCFF"/>
        <color rgb="FF63BE7B"/>
      </colorScale>
    </cfRule>
    <cfRule type="colorScale" priority="9">
      <colorScale>
        <cfvo type="min"/>
        <cfvo type="max"/>
        <color rgb="FFFFDDFF"/>
        <color theme="8" tint="0.39997558519241921"/>
      </colorScale>
    </cfRule>
  </conditionalFormatting>
  <conditionalFormatting sqref="T5:U6">
    <cfRule type="dataBar" priority="4">
      <dataBar>
        <cfvo type="min"/>
        <cfvo type="max"/>
        <color rgb="FFEAB0E4"/>
      </dataBar>
      <extLst>
        <ext xmlns:x14="http://schemas.microsoft.com/office/spreadsheetml/2009/9/main" uri="{B025F937-C7B1-47D3-B67F-A62EFF666E3E}">
          <x14:id>{B0B7522E-8AF4-4D6A-A1D7-028DD0AACB7F}</x14:id>
        </ext>
      </extLst>
    </cfRule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max"/>
        <color rgb="FFFFDDFF"/>
        <color theme="8" tint="0.39997558519241921"/>
      </colorScale>
    </cfRule>
  </conditionalFormatting>
  <conditionalFormatting sqref="V3:W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W6">
    <cfRule type="dataBar" priority="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{FC4958F0-ADF2-4E78-AAC6-F07E57E74E68}</x14:id>
        </ext>
      </extLst>
    </cfRule>
  </conditionalFormatting>
  <dataValidations count="1">
    <dataValidation allowBlank="1" showInputMessage="1" showErrorMessage="1" promptTitle="Pallavi :" prompt="Please  enter your source values for automatic calculation" sqref="C10:D10" xr:uid="{C2BC6E85-EAA9-4509-83D4-4B8D72E07683}"/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10C710-9F16-4830-8FD0-29DCC9A54A0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P5:Q6</xm:sqref>
        </x14:conditionalFormatting>
        <x14:conditionalFormatting xmlns:xm="http://schemas.microsoft.com/office/excel/2006/main">
          <x14:cfRule type="dataBar" id="{D3B52CF9-21B8-4BBD-AF46-C890216CCE1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R5:S6</xm:sqref>
        </x14:conditionalFormatting>
        <x14:conditionalFormatting xmlns:xm="http://schemas.microsoft.com/office/excel/2006/main">
          <x14:cfRule type="dataBar" id="{B0B7522E-8AF4-4D6A-A1D7-028DD0AACB7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T5:U6</xm:sqref>
        </x14:conditionalFormatting>
        <x14:conditionalFormatting xmlns:xm="http://schemas.microsoft.com/office/excel/2006/main">
          <x14:cfRule type="dataBar" id="{FC4958F0-ADF2-4E78-AAC6-F07E57E74E6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V5:W6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Bonasu</dc:creator>
  <cp:lastModifiedBy>Marupaka Pallavi</cp:lastModifiedBy>
  <dcterms:created xsi:type="dcterms:W3CDTF">2025-12-14T15:19:45Z</dcterms:created>
  <dcterms:modified xsi:type="dcterms:W3CDTF">2026-01-05T11:00:50Z</dcterms:modified>
</cp:coreProperties>
</file>